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256df4c8f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汇总" sheetId="1" r:id="R0aae178ec7714393"/>
    <x:sheet xmlns:r="http://schemas.openxmlformats.org/officeDocument/2006/relationships" name="Controller明细" sheetId="2" r:id="R44125445c2c6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10"/>
      <x:color rgb="FF64748B"/>
      <x:name val="Arial"/>
    </x:font>
    <x:font>
      <x:b/>
      <x:sz val="10"/>
      <x:color rgb="FF334155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9"/>
      <x:color rgb="FF334155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7CC"/>
      </x:patternFill>
    </x:fill>
  </x:fills>
  <x:borders count="13">
    <x:border/>
    <x:border>
      <x:bottom style="thin">
        <x:color rgb="FF94A3B8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double">
        <x:color rgb="FF17365D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8" xfId="0" applyNumberFormat="1" applyFont="1" applyFill="1" applyBorder="1" applyAlignment="1">
      <x:alignment wrapText="1"/>
    </x:xf>
    <x:xf numFmtId="0" fontId="6" fillId="3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horizontal="center" wrapText="1"/>
    </x:xf>
    <x:xf numFmtId="0" fontId="6" fillId="3" borderId="9" xfId="0" applyNumberFormat="1" applyFont="1" applyFill="1" applyBorder="1" applyAlignment="1">
      <x:alignment horizontal="center" wrapText="1"/>
    </x:xf>
    <x:xf numFmtId="0" fontId="6" fillId="3" borderId="10" xfId="0" applyNumberFormat="1" applyFont="1" applyFill="1" applyBorder="1" applyAlignment="1">
      <x:alignment horizontal="center" wrapText="1"/>
    </x:xf>
    <x:xf numFmtId="0" fontId="6" fillId="3" borderId="8" xfId="0" applyNumberFormat="1" applyFont="1" applyFill="1" applyBorder="1" applyAlignment="1">
      <x:alignment horizontal="center" vertical="center" wrapText="1"/>
    </x:xf>
    <x:xf numFmtId="0" fontId="6" fillId="3" borderId="9" xfId="0" applyNumberFormat="1" applyFont="1" applyFill="1" applyBorder="1" applyAlignment="1">
      <x:alignment horizontal="center" vertical="center" wrapText="1"/>
    </x:xf>
    <x:xf numFmtId="0" fontId="6" fillId="3" borderId="10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12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1" xfId="0" applyNumberFormat="1" applyFont="1" applyFill="1" applyBorder="1" applyAlignment="1">
      <x:alignment horizontal="center"/>
    </x:xf>
    <x:xf numFmtId="0" fontId="7" fillId="4" borderId="12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horizontal="center"/>
    </x:xf>
    <x:xf numFmtId="200" fontId="1" fillId="0" borderId="11" xfId="0" applyNumberFormat="1" applyFont="1" applyFill="1" applyBorder="1" applyAlignment="1">
      <x:alignment horizontal="center"/>
    </x:xf>
    <x:xf numFmtId="200" fontId="7" fillId="4" borderId="12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/>
    </x:xf>
    <x:xf numFmtId="200" fontId="7" fillId="4" borderId="12" xfId="0" applyNumberFormat="1" applyFont="1" applyFill="1" applyBorder="1" applyAlignment="1">
      <x:alignment horizontal="center" vertical="center"/>
    </x:xf>
    <x:xf numFmtId="0" fontId="7" fillId="4" borderId="12" xfId="0" applyNumberFormat="1" applyFont="1" applyFill="1" applyBorder="1" applyAlignment="1">
      <x:alignment horizontal="center" vertical="center"/>
    </x:xf>
    <x:xf numFmtId="0" fontId="7" fillId="4" borderId="12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1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horizontal="center" vertical="center"/>
    </x:xf>
    <x:xf numFmtId="201" fontId="1" fillId="5" borderId="1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9975ae6944e27" /><Relationship Type="http://schemas.openxmlformats.org/officeDocument/2006/relationships/theme" Target="/xl/theme/theme1.xml" Id="R525d156b94d94f74" /><Relationship Type="http://schemas.openxmlformats.org/officeDocument/2006/relationships/sharedStrings" Target="/xl/sharedStrings.xml" Id="R47673ce642314c5b" /><Relationship Type="http://schemas.openxmlformats.org/officeDocument/2006/relationships/worksheet" Target="/xl/worksheets/sheet1.xml" Id="R0aae178ec7714393" /><Relationship Type="http://schemas.openxmlformats.org/officeDocument/2006/relationships/worksheet" Target="/xl/worksheets/sheet2.xml" Id="R44125445c2c64e03" /></Relationships>
</file>

<file path=xl/tables/table1.xml><?xml version="1.0" encoding="utf-8"?>
<x:table xmlns:x="http://schemas.openxmlformats.org/spreadsheetml/2006/main" id="1" name="ApiCategorySummary" displayName="ApiCategorySummary" ref="A8:H20" headerRowCount="1" totalsRowCount="0" totalsRowShown="0">
  <x:tableColumns count="8">
    <x:tableColumn id="1" name="功能大类"/>
    <x:tableColumn id="2" name="Controller 数"/>
    <x:tableColumn id="3" name="接口数"/>
    <x:tableColumn id="4" name="路由测试"/>
    <x:tableColumn id="5" name="业务测试"/>
    <x:tableColumn id="6" name="优先级"/>
    <x:tableColumn id="7" name="负责人"/>
    <x:tableColumn id="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lerTracking" displayName="ControllerTracking" ref="A5:J28" headerRowCount="1" totalsRowCount="0" totalsRowShown="0">
  <x:tableColumns count="10">
    <x:tableColumn id="1" name="功能大类"/>
    <x:tableColumn id="2" name="Controller"/>
    <x:tableColumn id="3" name="根路由"/>
    <x:tableColumn id="4" name="接口数"/>
    <x:tableColumn id="5" name="路由测试"/>
    <x:tableColumn id="6" name="业务测试"/>
    <x:tableColumn id="7" name="优先级"/>
    <x:tableColumn id="8" name="负责人"/>
    <x:tableColumn id="9" name="计划完成日期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b37063c31641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41f8f7a0264ca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PlayEdu 后台 API Controller 测试跟踪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统计范围：后台管理端 API；接口数按 Controller 方法上的 HTTP Mapping 统计。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4"/>
      <x:c r="B4" s="4"/>
      <x:c r="C4" s="4"/>
      <x:c r="D4" s="4"/>
      <x:c r="E4" s="4"/>
      <x:c r="F4" s="4"/>
      <x:c r="G4" s="4"/>
      <x:c r="H4" s="4"/>
      <x:c r="I4" s="1"/>
      <x:c r="J4" s="1"/>
      <x:c r="K4" s="1"/>
    </x:row>
    <x:row r="5" ht="25" customHeight="1">
      <x:c r="A5" s="20" t="str">
        <x:v>Controller 总数</x:v>
      </x:c>
      <x:c r="B5" s="21" t="n">
        <x:v>23</x:v>
      </x:c>
      <x:c r="C5" s="18" t="str">
        <x:v>接口总数</x:v>
      </x:c>
      <x:c r="D5" s="18" t="n">
        <x:v>134</x:v>
      </x:c>
      <x:c r="E5" s="18" t="str">
        <x:v>功能大类</x:v>
      </x:c>
      <x:c r="F5" s="19" t="n">
        <x:v>11</x:v>
      </x:c>
      <x:c r="G5" s="1"/>
      <x:c r="H5" s="1"/>
      <x:c r="I5" s="1"/>
      <x:c r="J5" s="1"/>
      <x:c r="K5" s="1"/>
    </x:row>
    <x:row r="6" ht="25" customHeight="1">
      <x:c r="A6" s="14" t="str">
        <x:v>路由测试</x:v>
      </x:c>
      <x:c r="B6" s="15" t="str">
        <x:v>全部覆盖</x:v>
      </x:c>
      <x:c r="C6" s="15" t="str">
        <x:v>完整业务测试</x:v>
      </x:c>
      <x:c r="D6" s="15" t="str">
        <x:v>题库、试卷</x:v>
      </x:c>
      <x:c r="E6" s="15" t="str">
        <x:v>待补业务测试</x:v>
      </x:c>
      <x:c r="F6" s="16" t="n">
        <x:v>21</x:v>
      </x:c>
      <x:c r="G6" s="1"/>
      <x:c r="H6" s="1"/>
      <x:c r="I6" s="1"/>
      <x:c r="J6" s="1"/>
      <x:c r="K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 ht="30" customHeight="1">
      <x:c r="A8" s="33" t="str">
        <x:v>功能大类</x:v>
      </x:c>
      <x:c r="B8" s="34" t="str">
        <x:v>Controller 数</x:v>
      </x:c>
      <x:c r="C8" s="34" t="str">
        <x:v>接口数</x:v>
      </x:c>
      <x:c r="D8" s="34" t="str">
        <x:v>路由测试</x:v>
      </x:c>
      <x:c r="E8" s="34" t="str">
        <x:v>业务测试</x:v>
      </x:c>
      <x:c r="F8" s="34" t="str">
        <x:v>优先级</x:v>
      </x:c>
      <x:c r="G8" s="34" t="str">
        <x:v>负责人</x:v>
      </x:c>
      <x:c r="H8" s="35" t="str">
        <x:v>备注</x:v>
      </x:c>
      <x:c r="I8" s="1"/>
      <x:c r="J8" s="1"/>
      <x:c r="K8" s="1"/>
    </x:row>
    <x:row r="9" ht="28" customHeight="1">
      <x:c r="A9" s="49" t="str">
        <x:v>登录认证</x:v>
      </x:c>
      <x:c r="B9" s="50" t="n">
        <x:f>COUNTIF('Controller明细'!$A$6:$A$28,A9)</x:f>
        <x:v>1</x:v>
      </x:c>
      <x:c r="C9" s="50" t="n">
        <x:f>SUMIF('Controller明细'!$A$6:$A$28,A9,'Controller明细'!$D$6:$D$28)</x:f>
        <x:v>4</x:v>
      </x:c>
      <x:c r="D9" s="51" t="str">
        <x:f>IF(COUNTIFS('Controller明细'!$A$6:$A$28,A9,'Controller明细'!$E$6:$E$28,"&lt;&gt;已覆盖")=0,"已覆盖","待补充")</x:f>
        <x:v>已覆盖</x:v>
      </x:c>
      <x:c r="E9" s="51" t="str">
        <x:f>IF(COUNTIFS('Controller明细'!$A$6:$A$28,A9,'Controller明细'!$F$6:$F$28,"&lt;&gt;已覆盖")=0,"已覆盖","待补充")</x:f>
        <x:v>待补充</x:v>
      </x:c>
      <x:c r="F9" s="51" t="str">
        <x:v>P0</x:v>
      </x:c>
      <x:c r="G9" s="61"/>
      <x:c r="H9" s="52" t="str">
        <x:v>后台登录、退出、管理员详情和修改密码</x:v>
      </x:c>
      <x:c r="I9" s="1"/>
      <x:c r="J9" s="1"/>
      <x:c r="K9" s="1"/>
    </x:row>
    <x:row r="10" ht="28" customHeight="1">
      <x:c r="A10" s="49" t="str">
        <x:v>管理员与权限</x:v>
      </x:c>
      <x:c r="B10" s="50" t="n">
        <x:f>COUNTIF('Controller明细'!$A$6:$A$28,A10)</x:f>
        <x:v>2</x:v>
      </x:c>
      <x:c r="C10" s="50" t="n">
        <x:f>SUMIF('Controller明细'!$A$6:$A$28,A10,'Controller明细'!$D$6:$D$28)</x:f>
        <x:v>12</x:v>
      </x:c>
      <x:c r="D10" s="51" t="str">
        <x:f>IF(COUNTIFS('Controller明细'!$A$6:$A$28,A10,'Controller明细'!$E$6:$E$28,"&lt;&gt;已覆盖")=0,"已覆盖","待补充")</x:f>
        <x:v>已覆盖</x:v>
      </x:c>
      <x:c r="E10" s="51" t="str">
        <x:f>IF(COUNTIFS('Controller明细'!$A$6:$A$28,A10,'Controller明细'!$F$6:$F$28,"&lt;&gt;已覆盖")=0,"已覆盖","待补充")</x:f>
        <x:v>待补充</x:v>
      </x:c>
      <x:c r="F10" s="51" t="str">
        <x:v>P0</x:v>
      </x:c>
      <x:c r="G10" s="61"/>
      <x:c r="H10" s="52" t="str">
        <x:v>后台管理员账号、角色和权限配置</x:v>
      </x:c>
      <x:c r="I10" s="1"/>
      <x:c r="J10" s="1"/>
      <x:c r="K10" s="1"/>
    </x:row>
    <x:row r="11" ht="28" customHeight="1">
      <x:c r="A11" s="49" t="str">
        <x:v>用户管理</x:v>
      </x:c>
      <x:c r="B11" s="50" t="n">
        <x:f>COUNTIF('Controller明细'!$A$6:$A$28,A11)</x:f>
        <x:v>1</x:v>
      </x:c>
      <x:c r="C11" s="50" t="n">
        <x:f>SUMIF('Controller明细'!$A$6:$A$28,A11,'Controller明细'!$D$6:$D$28)</x:f>
        <x:v>14</x:v>
      </x:c>
      <x:c r="D11" s="51" t="str">
        <x:f>IF(COUNTIFS('Controller明细'!$A$6:$A$28,A11,'Controller明细'!$E$6:$E$28,"&lt;&gt;已覆盖")=0,"已覆盖","待补充")</x:f>
        <x:v>已覆盖</x:v>
      </x:c>
      <x:c r="E11" s="51" t="str">
        <x:f>IF(COUNTIFS('Controller明细'!$A$6:$A$28,A11,'Controller明细'!$F$6:$F$28,"&lt;&gt;已覆盖")=0,"已覆盖","待补充")</x:f>
        <x:v>待补充</x:v>
      </x:c>
      <x:c r="F11" s="51" t="str">
        <x:v>P0</x:v>
      </x:c>
      <x:c r="G11" s="61"/>
      <x:c r="H11" s="52" t="str">
        <x:v>学员管理、批量导入和学习统计</x:v>
      </x:c>
      <x:c r="I11" s="1"/>
      <x:c r="J11" s="1"/>
      <x:c r="K11" s="1"/>
    </x:row>
    <x:row r="12" ht="28" customHeight="1">
      <x:c r="A12" s="49" t="str">
        <x:v>部门管理</x:v>
      </x:c>
      <x:c r="B12" s="50" t="n">
        <x:f>COUNTIF('Controller明细'!$A$6:$A$28,A12)</x:f>
        <x:v>1</x:v>
      </x:c>
      <x:c r="C12" s="50" t="n">
        <x:f>SUMIF('Controller明细'!$A$6:$A$28,A12,'Controller明细'!$D$6:$D$28)</x:f>
        <x:v>12</x:v>
      </x:c>
      <x:c r="D12" s="51" t="str">
        <x:f>IF(COUNTIFS('Controller明细'!$A$6:$A$28,A12,'Controller明细'!$E$6:$E$28,"&lt;&gt;已覆盖")=0,"已覆盖","待补充")</x:f>
        <x:v>已覆盖</x:v>
      </x:c>
      <x:c r="E12" s="51" t="str">
        <x:f>IF(COUNTIFS('Controller明细'!$A$6:$A$28,A12,'Controller明细'!$F$6:$F$28,"&lt;&gt;已覆盖")=0,"已覆盖","待补充")</x:f>
        <x:v>待补充</x:v>
      </x:c>
      <x:c r="F12" s="51" t="str">
        <x:v>P0</x:v>
      </x:c>
      <x:c r="G12" s="61"/>
      <x:c r="H12" s="52" t="str">
        <x:v>组织架构、部门成员和层级调整</x:v>
      </x:c>
      <x:c r="I12" s="1"/>
      <x:c r="J12" s="1"/>
      <x:c r="K12" s="1"/>
    </x:row>
    <x:row r="13" ht="28" customHeight="1">
      <x:c r="A13" s="49" t="str">
        <x:v>LDAP同步</x:v>
      </x:c>
      <x:c r="B13" s="50" t="n">
        <x:f>COUNTIF('Controller明细'!$A$6:$A$28,A13)</x:f>
        <x:v>2</x:v>
      </x:c>
      <x:c r="C13" s="50" t="n">
        <x:f>SUMIF('Controller明细'!$A$6:$A$28,A13,'Controller明细'!$D$6:$D$28)</x:f>
        <x:v>4</x:v>
      </x:c>
      <x:c r="D13" s="51" t="str">
        <x:f>IF(COUNTIFS('Controller明细'!$A$6:$A$28,A13,'Controller明细'!$E$6:$E$28,"&lt;&gt;已覆盖")=0,"已覆盖","待补充")</x:f>
        <x:v>已覆盖</x:v>
      </x:c>
      <x:c r="E13" s="51" t="str">
        <x:f>IF(COUNTIFS('Controller明细'!$A$6:$A$28,A13,'Controller明细'!$F$6:$F$28,"&lt;&gt;已覆盖")=0,"已覆盖","待补充")</x:f>
        <x:v>待补充</x:v>
      </x:c>
      <x:c r="F13" s="51" t="str">
        <x:v>P2</x:v>
      </x:c>
      <x:c r="G13" s="61"/>
      <x:c r="H13" s="52" t="str">
        <x:v>LDAP同步记录、明细和结果下载</x:v>
      </x:c>
      <x:c r="I13" s="1"/>
      <x:c r="J13" s="1"/>
      <x:c r="K13" s="1"/>
    </x:row>
    <x:row r="14" ht="28" customHeight="1">
      <x:c r="A14" s="49" t="str">
        <x:v>课程管理</x:v>
      </x:c>
      <x:c r="B14" s="50" t="n">
        <x:f>COUNTIF('Controller明细'!$A$6:$A$28,A14)</x:f>
        <x:v>6</x:v>
      </x:c>
      <x:c r="C14" s="50" t="n">
        <x:f>SUMIF('Controller明细'!$A$6:$A$28,A14,'Controller明细'!$D$6:$D$28)</x:f>
        <x:v>27</x:v>
      </x:c>
      <x:c r="D14" s="51" t="str">
        <x:f>IF(COUNTIFS('Controller明细'!$A$6:$A$28,A14,'Controller明细'!$E$6:$E$28,"&lt;&gt;已覆盖")=0,"已覆盖","待补充")</x:f>
        <x:v>已覆盖</x:v>
      </x:c>
      <x:c r="E14" s="51" t="str">
        <x:f>IF(COUNTIFS('Controller明细'!$A$6:$A$28,A14,'Controller明细'!$F$6:$F$28,"&lt;&gt;已覆盖")=0,"已覆盖","待补充")</x:f>
        <x:v>待补充</x:v>
      </x:c>
      <x:c r="F14" s="51" t="str">
        <x:v>P0</x:v>
      </x:c>
      <x:c r="G14" s="61"/>
      <x:c r="H14" s="52" t="str">
        <x:v>课程、章节、课时、附件和课程学员</x:v>
      </x:c>
      <x:c r="I14" s="1"/>
      <x:c r="J14" s="1"/>
      <x:c r="K14" s="1"/>
    </x:row>
    <x:row r="15" ht="28" customHeight="1">
      <x:c r="A15" s="49" t="str">
        <x:v>资源与上传</x:v>
      </x:c>
      <x:c r="B15" s="50" t="n">
        <x:f>COUNTIF('Controller明细'!$A$6:$A$28,A15)</x:f>
        <x:v>3</x:v>
      </x:c>
      <x:c r="C15" s="50" t="n">
        <x:f>SUMIF('Controller明细'!$A$6:$A$28,A15,'Controller明细'!$D$6:$D$28)</x:f>
        <x:v>21</x:v>
      </x:c>
      <x:c r="D15" s="51" t="str">
        <x:f>IF(COUNTIFS('Controller明细'!$A$6:$A$28,A15,'Controller明细'!$E$6:$E$28,"&lt;&gt;已覆盖")=0,"已覆盖","待补充")</x:f>
        <x:v>已覆盖</x:v>
      </x:c>
      <x:c r="E15" s="51" t="str">
        <x:f>IF(COUNTIFS('Controller明细'!$A$6:$A$28,A15,'Controller明细'!$F$6:$F$28,"&lt;&gt;已覆盖")=0,"已覆盖","待补充")</x:f>
        <x:v>待补充</x:v>
      </x:c>
      <x:c r="F15" s="51" t="str">
        <x:v>P1</x:v>
      </x:c>
      <x:c r="G15" s="61"/>
      <x:c r="H15" s="52" t="str">
        <x:v>资源文件、资源分类和分片上传</x:v>
      </x:c>
      <x:c r="I15" s="1"/>
      <x:c r="J15" s="1"/>
      <x:c r="K15" s="1"/>
    </x:row>
    <x:row r="16" ht="28" customHeight="1">
      <x:c r="A16" s="49" t="str">
        <x:v>题库管理</x:v>
      </x:c>
      <x:c r="B16" s="50" t="n">
        <x:f>COUNTIF('Controller明细'!$A$6:$A$28,A16)</x:f>
        <x:v>1</x:v>
      </x:c>
      <x:c r="C16" s="50" t="n">
        <x:f>SUMIF('Controller明细'!$A$6:$A$28,A16,'Controller明细'!$D$6:$D$28)</x:f>
        <x:v>15</x:v>
      </x:c>
      <x:c r="D16" s="51" t="str">
        <x:f>IF(COUNTIFS('Controller明细'!$A$6:$A$28,A16,'Controller明细'!$E$6:$E$28,"&lt;&gt;已覆盖")=0,"已覆盖","待补充")</x:f>
        <x:v>已覆盖</x:v>
      </x:c>
      <x:c r="E16" s="51" t="str">
        <x:f>IF(COUNTIFS('Controller明细'!$A$6:$A$28,A16,'Controller明细'!$F$6:$F$28,"&lt;&gt;已覆盖")=0,"已覆盖","待补充")</x:f>
        <x:v>已覆盖</x:v>
      </x:c>
      <x:c r="F16" s="51" t="str">
        <x:v>P1</x:v>
      </x:c>
      <x:c r="G16" s="61"/>
      <x:c r="H16" s="52" t="str">
        <x:v>题库、分类、题目、版本、导入和状态管理</x:v>
      </x:c>
      <x:c r="I16" s="1"/>
      <x:c r="J16" s="1"/>
      <x:c r="K16" s="1"/>
    </x:row>
    <x:row r="17" ht="28" customHeight="1">
      <x:c r="A17" s="49" t="str">
        <x:v>试卷管理</x:v>
      </x:c>
      <x:c r="B17" s="50" t="n">
        <x:f>COUNTIF('Controller明细'!$A$6:$A$28,A17)</x:f>
        <x:v>1</x:v>
      </x:c>
      <x:c r="C17" s="50" t="n">
        <x:f>SUMIF('Controller明细'!$A$6:$A$28,A17,'Controller明细'!$D$6:$D$28)</x:f>
        <x:v>16</x:v>
      </x:c>
      <x:c r="D17" s="51" t="str">
        <x:f>IF(COUNTIFS('Controller明细'!$A$6:$A$28,A17,'Controller明细'!$E$6:$E$28,"&lt;&gt;已覆盖")=0,"已覆盖","待补充")</x:f>
        <x:v>已覆盖</x:v>
      </x:c>
      <x:c r="E17" s="51" t="str">
        <x:f>IF(COUNTIFS('Controller明细'!$A$6:$A$28,A17,'Controller明细'!$F$6:$F$28,"&lt;&gt;已覆盖")=0,"已覆盖","待补充")</x:f>
        <x:v>已覆盖</x:v>
      </x:c>
      <x:c r="F17" s="51" t="str">
        <x:v>P1</x:v>
      </x:c>
      <x:c r="G17" s="61"/>
      <x:c r="H17" s="52" t="str">
        <x:v>试卷分类、组卷、发布、复制、导入导出和版本</x:v>
      </x:c>
      <x:c r="I17" s="1"/>
      <x:c r="J17" s="1"/>
      <x:c r="K17" s="1"/>
    </x:row>
    <x:row r="18" ht="28" customHeight="1">
      <x:c r="A18" s="49" t="str">
        <x:v>系统配置与运维</x:v>
      </x:c>
      <x:c r="B18" s="50" t="n">
        <x:f>COUNTIF('Controller明细'!$A$6:$A$28,A18)</x:f>
        <x:v>4</x:v>
      </x:c>
      <x:c r="C18" s="50" t="n">
        <x:f>SUMIF('Controller明细'!$A$6:$A$28,A18,'Controller明细'!$D$6:$D$28)</x:f>
        <x:v>8</x:v>
      </x:c>
      <x:c r="D18" s="51" t="str">
        <x:f>IF(COUNTIFS('Controller明细'!$A$6:$A$28,A18,'Controller明细'!$E$6:$E$28,"&lt;&gt;已覆盖")=0,"已覆盖","待补充")</x:f>
        <x:v>已覆盖</x:v>
      </x:c>
      <x:c r="E18" s="51" t="str">
        <x:f>IF(COUNTIFS('Controller明细'!$A$6:$A$28,A18,'Controller明细'!$F$6:$F$28,"&lt;&gt;已覆盖")=0,"已覆盖","待补充")</x:f>
        <x:v>待补充</x:v>
      </x:c>
      <x:c r="F18" s="51" t="str">
        <x:v>P2</x:v>
      </x:c>
      <x:c r="G18" s="61"/>
      <x:c r="H18" s="52" t="str">
        <x:v>应用配置、系统数据、缓存和后台操作日志</x:v>
      </x:c>
      <x:c r="I18" s="1"/>
      <x:c r="J18" s="1"/>
      <x:c r="K18" s="1"/>
    </x:row>
    <x:row r="19" ht="28" customHeight="1">
      <x:c r="A19" s="53" t="str">
        <x:v>数据看板</x:v>
      </x:c>
      <x:c r="B19" s="54" t="n">
        <x:f>COUNTIF('Controller明细'!$A$6:$A$28,A19)</x:f>
        <x:v>1</x:v>
      </x:c>
      <x:c r="C19" s="54" t="n">
        <x:f>SUMIF('Controller明细'!$A$6:$A$28,A19,'Controller明细'!$D$6:$D$28)</x:f>
        <x:v>1</x:v>
      </x:c>
      <x:c r="D19" s="55" t="str">
        <x:f>IF(COUNTIFS('Controller明细'!$A$6:$A$28,A19,'Controller明细'!$E$6:$E$28,"&lt;&gt;已覆盖")=0,"已覆盖","待补充")</x:f>
        <x:v>已覆盖</x:v>
      </x:c>
      <x:c r="E19" s="55" t="str">
        <x:f>IF(COUNTIFS('Controller明细'!$A$6:$A$28,A19,'Controller明细'!$F$6:$F$28,"&lt;&gt;已覆盖")=0,"已覆盖","待补充")</x:f>
        <x:v>待补充</x:v>
      </x:c>
      <x:c r="F19" s="55" t="str">
        <x:v>P2</x:v>
      </x:c>
      <x:c r="G19" s="62"/>
      <x:c r="H19" s="56" t="str">
        <x:v>后台首页统计数据</x:v>
      </x:c>
      <x:c r="I19" s="1"/>
      <x:c r="J19" s="1"/>
      <x:c r="K19" s="1"/>
    </x:row>
    <x:row r="20" ht="28" customHeight="1">
      <x:c r="A20" s="57" t="str">
        <x:v>合计</x:v>
      </x:c>
      <x:c r="B20" s="58" t="n">
        <x:f>SUM(B9:B19)</x:f>
        <x:v>23</x:v>
      </x:c>
      <x:c r="C20" s="58" t="n">
        <x:f>SUM(C9:C19)</x:f>
        <x:v>134</x:v>
      </x:c>
      <x:c r="D20" s="59" t="str">
        <x:v>全部覆盖</x:v>
      </x:c>
      <x:c r="E20" s="59" t="str">
        <x:f>COUNTIF(E9:E19,"已覆盖")&amp;"/"&amp;COUNTA(E9:E19)&amp;" 类已覆盖"</x:f>
        <x:v>2/11 类已覆盖</x:v>
      </x:c>
      <x:c r="F20" s="59"/>
      <x:c r="G20" s="59"/>
      <x:c r="H20" s="60" t="str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conditionalFormatting sqref="D9:E19">
    <x:cfRule type="containsText" dxfId="0" priority="1" operator="containsText" text="已覆盖"/>
    <x:cfRule type="containsText" dxfId="1" priority="2" operator="containsText" text="待补充"/>
  </x:conditionalFormatting>
  <x:conditionalFormatting sqref="F9:F19">
    <x:cfRule type="containsText" dxfId="2" priority="3" operator="containsText" text="P0"/>
    <x:cfRule type="containsText" dxfId="3" priority="4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4cb37063c3164108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8" hidden="0" customWidth="1"/>
    <x:col min="3" max="3" width="48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6" hidden="0" customWidth="1"/>
    <x:col min="10" max="10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后台 Controller 明细与测试状态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数据来源：PlayEdu 后台 Controller 源码；统计日期：2026-09-08。黄色列为后续可编辑跟踪项。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1"/>
    </x:row>
    <x:row r="5" ht="30" customHeight="1">
      <x:c r="A5" s="33" t="str">
        <x:v>功能大类</x:v>
      </x:c>
      <x:c r="B5" s="34" t="str">
        <x:v>Controller</x:v>
      </x:c>
      <x:c r="C5" s="34" t="str">
        <x:v>根路由</x:v>
      </x:c>
      <x:c r="D5" s="34" t="str">
        <x:v>接口数</x:v>
      </x:c>
      <x:c r="E5" s="34" t="str">
        <x:v>路由测试</x:v>
      </x:c>
      <x:c r="F5" s="34" t="str">
        <x:v>业务测试</x:v>
      </x:c>
      <x:c r="G5" s="34" t="str">
        <x:v>优先级</x:v>
      </x:c>
      <x:c r="H5" s="34" t="str">
        <x:v>负责人</x:v>
      </x:c>
      <x:c r="I5" s="34" t="str">
        <x:v>计划完成日期</x:v>
      </x:c>
      <x:c r="J5" s="35" t="str">
        <x:v>备注</x:v>
      </x:c>
      <x:c r="K5" s="1"/>
    </x:row>
    <x:row r="6" ht="25" customHeight="1">
      <x:c r="A6" s="49" t="str">
        <x:v>登录认证</x:v>
      </x:c>
      <x:c r="B6" s="49" t="str">
        <x:v>LoginController</x:v>
      </x:c>
      <x:c r="C6" s="63" t="str">
        <x:v>/backend/v1/auth</x:v>
      </x:c>
      <x:c r="D6" s="51" t="n">
        <x:v>4</x:v>
      </x:c>
      <x:c r="E6" s="51" t="str">
        <x:v>已覆盖</x:v>
      </x:c>
      <x:c r="F6" s="51" t="str">
        <x:v>待补充</x:v>
      </x:c>
      <x:c r="G6" s="51" t="str">
        <x:v>P0</x:v>
      </x:c>
      <x:c r="H6" s="61" t="str"/>
      <x:c r="I6" s="65"/>
      <x:c r="J6" s="49" t="str">
        <x:v>登录、退出、详情、修改密码</x:v>
      </x:c>
      <x:c r="K6" s="1"/>
    </x:row>
    <x:row r="7" ht="25" customHeight="1">
      <x:c r="A7" s="49" t="str">
        <x:v>管理员与权限</x:v>
      </x:c>
      <x:c r="B7" s="49" t="str">
        <x:v>AdminUserController</x:v>
      </x:c>
      <x:c r="C7" s="63" t="str">
        <x:v>/backend/v1/admin-user</x:v>
      </x:c>
      <x:c r="D7" s="51" t="n">
        <x:v>6</x:v>
      </x:c>
      <x:c r="E7" s="51" t="str">
        <x:v>已覆盖</x:v>
      </x:c>
      <x:c r="F7" s="51" t="str">
        <x:v>待补充</x:v>
      </x:c>
      <x:c r="G7" s="51" t="str">
        <x:v>P0</x:v>
      </x:c>
      <x:c r="H7" s="61" t="str"/>
      <x:c r="I7" s="65"/>
      <x:c r="J7" s="49" t="str">
        <x:v>管理员账号管理</x:v>
      </x:c>
      <x:c r="K7" s="1"/>
    </x:row>
    <x:row r="8" ht="25" customHeight="1">
      <x:c r="A8" s="49" t="str">
        <x:v>管理员与权限</x:v>
      </x:c>
      <x:c r="B8" s="49" t="str">
        <x:v>AdminRoleController</x:v>
      </x:c>
      <x:c r="C8" s="63" t="str">
        <x:v>/backend/v1/admin-role</x:v>
      </x:c>
      <x:c r="D8" s="51" t="n">
        <x:v>6</x:v>
      </x:c>
      <x:c r="E8" s="51" t="str">
        <x:v>已覆盖</x:v>
      </x:c>
      <x:c r="F8" s="51" t="str">
        <x:v>待补充</x:v>
      </x:c>
      <x:c r="G8" s="51" t="str">
        <x:v>P0</x:v>
      </x:c>
      <x:c r="H8" s="61" t="str"/>
      <x:c r="I8" s="65"/>
      <x:c r="J8" s="49" t="str">
        <x:v>角色与权限管理</x:v>
      </x:c>
      <x:c r="K8" s="1"/>
    </x:row>
    <x:row r="9" ht="25" customHeight="1">
      <x:c r="A9" s="49" t="str">
        <x:v>用户管理</x:v>
      </x:c>
      <x:c r="B9" s="49" t="str">
        <x:v>UserController</x:v>
      </x:c>
      <x:c r="C9" s="63" t="str">
        <x:v>/backend/v1/user</x:v>
      </x:c>
      <x:c r="D9" s="51" t="n">
        <x:v>14</x:v>
      </x:c>
      <x:c r="E9" s="51" t="str">
        <x:v>已覆盖</x:v>
      </x:c>
      <x:c r="F9" s="51" t="str">
        <x:v>待补充</x:v>
      </x:c>
      <x:c r="G9" s="51" t="str">
        <x:v>P0</x:v>
      </x:c>
      <x:c r="H9" s="61" t="str"/>
      <x:c r="I9" s="65"/>
      <x:c r="J9" s="49" t="str">
        <x:v>学员及学习数据管理</x:v>
      </x:c>
      <x:c r="K9" s="1"/>
    </x:row>
    <x:row r="10" ht="25" customHeight="1">
      <x:c r="A10" s="49" t="str">
        <x:v>部门管理</x:v>
      </x:c>
      <x:c r="B10" s="49" t="str">
        <x:v>DepartmentController</x:v>
      </x:c>
      <x:c r="C10" s="63" t="str">
        <x:v>/backend/v1/department</x:v>
      </x:c>
      <x:c r="D10" s="51" t="n">
        <x:v>12</x:v>
      </x:c>
      <x:c r="E10" s="51" t="str">
        <x:v>已覆盖</x:v>
      </x:c>
      <x:c r="F10" s="51" t="str">
        <x:v>待补充</x:v>
      </x:c>
      <x:c r="G10" s="51" t="str">
        <x:v>P0</x:v>
      </x:c>
      <x:c r="H10" s="61" t="str"/>
      <x:c r="I10" s="65"/>
      <x:c r="J10" s="49" t="str">
        <x:v>部门、成员和组织层级</x:v>
      </x:c>
      <x:c r="K10" s="1"/>
    </x:row>
    <x:row r="11" ht="25" customHeight="1">
      <x:c r="A11" s="49" t="str">
        <x:v>LDAP同步</x:v>
      </x:c>
      <x:c r="B11" s="49" t="str">
        <x:v>LdapController</x:v>
      </x:c>
      <x:c r="C11" s="63" t="str">
        <x:v>/backend/v1/ldap</x:v>
      </x:c>
      <x:c r="D11" s="51" t="n">
        <x:v>3</x:v>
      </x:c>
      <x:c r="E11" s="51" t="str">
        <x:v>已覆盖</x:v>
      </x:c>
      <x:c r="F11" s="51" t="str">
        <x:v>待补充</x:v>
      </x:c>
      <x:c r="G11" s="51" t="str">
        <x:v>P2</x:v>
      </x:c>
      <x:c r="H11" s="61" t="str"/>
      <x:c r="I11" s="65"/>
      <x:c r="J11" s="49" t="str">
        <x:v>同步记录与下载</x:v>
      </x:c>
      <x:c r="K11" s="1"/>
    </x:row>
    <x:row r="12" ht="25" customHeight="1">
      <x:c r="A12" s="49" t="str">
        <x:v>LDAP同步</x:v>
      </x:c>
      <x:c r="B12" s="49" t="str">
        <x:v>LdapSyncDetailController</x:v>
      </x:c>
      <x:c r="C12" s="63" t="str">
        <x:v>/backend/v1/ldap</x:v>
      </x:c>
      <x:c r="D12" s="51" t="n">
        <x:v>1</x:v>
      </x:c>
      <x:c r="E12" s="51" t="str">
        <x:v>已覆盖</x:v>
      </x:c>
      <x:c r="F12" s="51" t="str">
        <x:v>待补充</x:v>
      </x:c>
      <x:c r="G12" s="51" t="str">
        <x:v>P2</x:v>
      </x:c>
      <x:c r="H12" s="61" t="str"/>
      <x:c r="I12" s="65"/>
      <x:c r="J12" s="49" t="str">
        <x:v>同步详情</x:v>
      </x:c>
      <x:c r="K12" s="1"/>
    </x:row>
    <x:row r="13" ht="25" customHeight="1">
      <x:c r="A13" s="49" t="str">
        <x:v>课程管理</x:v>
      </x:c>
      <x:c r="B13" s="49" t="str">
        <x:v>CourseController</x:v>
      </x:c>
      <x:c r="C13" s="63" t="str">
        <x:v>/backend/v1/course</x:v>
      </x:c>
      <x:c r="D13" s="51" t="n">
        <x:v>6</x:v>
      </x:c>
      <x:c r="E13" s="51" t="str">
        <x:v>已覆盖</x:v>
      </x:c>
      <x:c r="F13" s="51" t="str">
        <x:v>待补充</x:v>
      </x:c>
      <x:c r="G13" s="51" t="str">
        <x:v>P0</x:v>
      </x:c>
      <x:c r="H13" s="61" t="str"/>
      <x:c r="I13" s="65"/>
      <x:c r="J13" s="49" t="str">
        <x:v>课程管理</x:v>
      </x:c>
      <x:c r="K13" s="1"/>
    </x:row>
    <x:row r="14" ht="25" customHeight="1">
      <x:c r="A14" s="49" t="str">
        <x:v>课程管理</x:v>
      </x:c>
      <x:c r="B14" s="49" t="str">
        <x:v>CourseChapterController</x:v>
      </x:c>
      <x:c r="C14" s="63" t="str">
        <x:v>/backend/v1/course/{courseId}/chapter</x:v>
      </x:c>
      <x:c r="D14" s="51" t="n">
        <x:v>5</x:v>
      </x:c>
      <x:c r="E14" s="51" t="str">
        <x:v>已覆盖</x:v>
      </x:c>
      <x:c r="F14" s="51" t="str">
        <x:v>待补充</x:v>
      </x:c>
      <x:c r="G14" s="51" t="str">
        <x:v>P0</x:v>
      </x:c>
      <x:c r="H14" s="61" t="str"/>
      <x:c r="I14" s="65"/>
      <x:c r="J14" s="49" t="str">
        <x:v>课程章节</x:v>
      </x:c>
      <x:c r="K14" s="1"/>
    </x:row>
    <x:row r="15" ht="25" customHeight="1">
      <x:c r="A15" s="49" t="str">
        <x:v>课程管理</x:v>
      </x:c>
      <x:c r="B15" s="49" t="str">
        <x:v>CourseHourController</x:v>
      </x:c>
      <x:c r="C15" s="63" t="str">
        <x:v>/backend/v1/course/{courseId}/hour</x:v>
      </x:c>
      <x:c r="D15" s="51" t="n">
        <x:v>7</x:v>
      </x:c>
      <x:c r="E15" s="51" t="str">
        <x:v>已覆盖</x:v>
      </x:c>
      <x:c r="F15" s="51" t="str">
        <x:v>待补充</x:v>
      </x:c>
      <x:c r="G15" s="51" t="str">
        <x:v>P0</x:v>
      </x:c>
      <x:c r="H15" s="61" t="str"/>
      <x:c r="I15" s="65"/>
      <x:c r="J15" s="49" t="str">
        <x:v>课程课时</x:v>
      </x:c>
      <x:c r="K15" s="1"/>
    </x:row>
    <x:row r="16" ht="25" customHeight="1">
      <x:c r="A16" s="49" t="str">
        <x:v>课程管理</x:v>
      </x:c>
      <x:c r="B16" s="49" t="str">
        <x:v>CourseAttachmentController</x:v>
      </x:c>
      <x:c r="C16" s="63" t="str">
        <x:v>/backend/v1/course/{courseId}/attachment</x:v>
      </x:c>
      <x:c r="D16" s="51" t="n">
        <x:v>6</x:v>
      </x:c>
      <x:c r="E16" s="51" t="str">
        <x:v>已覆盖</x:v>
      </x:c>
      <x:c r="F16" s="51" t="str">
        <x:v>待补充</x:v>
      </x:c>
      <x:c r="G16" s="51" t="str">
        <x:v>P0</x:v>
      </x:c>
      <x:c r="H16" s="61" t="str"/>
      <x:c r="I16" s="65"/>
      <x:c r="J16" s="49" t="str">
        <x:v>课程附件</x:v>
      </x:c>
      <x:c r="K16" s="1"/>
    </x:row>
    <x:row r="17" ht="25" customHeight="1">
      <x:c r="A17" s="49" t="str">
        <x:v>课程管理</x:v>
      </x:c>
      <x:c r="B17" s="49" t="str">
        <x:v>CourseAttachmentDownloadLogController</x:v>
      </x:c>
      <x:c r="C17" s="63" t="str">
        <x:v>/backend/v1/course/attachment/download/log</x:v>
      </x:c>
      <x:c r="D17" s="51" t="n">
        <x:v>1</x:v>
      </x:c>
      <x:c r="E17" s="51" t="str">
        <x:v>已覆盖</x:v>
      </x:c>
      <x:c r="F17" s="51" t="str">
        <x:v>待补充</x:v>
      </x:c>
      <x:c r="G17" s="51" t="str">
        <x:v>P0</x:v>
      </x:c>
      <x:c r="H17" s="61" t="str"/>
      <x:c r="I17" s="65"/>
      <x:c r="J17" s="49" t="str">
        <x:v>附件下载记录</x:v>
      </x:c>
      <x:c r="K17" s="1"/>
    </x:row>
    <x:row r="18" ht="25" customHeight="1">
      <x:c r="A18" s="49" t="str">
        <x:v>课程管理</x:v>
      </x:c>
      <x:c r="B18" s="49" t="str">
        <x:v>CourseUserController</x:v>
      </x:c>
      <x:c r="C18" s="63" t="str">
        <x:v>/backend/v1/course/{courseId}/user</x:v>
      </x:c>
      <x:c r="D18" s="51" t="n">
        <x:v>2</x:v>
      </x:c>
      <x:c r="E18" s="51" t="str">
        <x:v>已覆盖</x:v>
      </x:c>
      <x:c r="F18" s="51" t="str">
        <x:v>待补充</x:v>
      </x:c>
      <x:c r="G18" s="51" t="str">
        <x:v>P0</x:v>
      </x:c>
      <x:c r="H18" s="61" t="str"/>
      <x:c r="I18" s="65"/>
      <x:c r="J18" s="49" t="str">
        <x:v>课程学员关联</x:v>
      </x:c>
      <x:c r="K18" s="1"/>
    </x:row>
    <x:row r="19" ht="25" customHeight="1">
      <x:c r="A19" s="49" t="str">
        <x:v>资源与上传</x:v>
      </x:c>
      <x:c r="B19" s="49" t="str">
        <x:v>ResourceController</x:v>
      </x:c>
      <x:c r="C19" s="63" t="str">
        <x:v>/backend/v1/resource</x:v>
      </x:c>
      <x:c r="D19" s="51" t="n">
        <x:v>5</x:v>
      </x:c>
      <x:c r="E19" s="51" t="str">
        <x:v>已覆盖</x:v>
      </x:c>
      <x:c r="F19" s="51" t="str">
        <x:v>待补充</x:v>
      </x:c>
      <x:c r="G19" s="51" t="str">
        <x:v>P1</x:v>
      </x:c>
      <x:c r="H19" s="61" t="str"/>
      <x:c r="I19" s="65"/>
      <x:c r="J19" s="49" t="str">
        <x:v>资源文件管理</x:v>
      </x:c>
      <x:c r="K19" s="1"/>
    </x:row>
    <x:row r="20" ht="25" customHeight="1">
      <x:c r="A20" s="49" t="str">
        <x:v>资源与上传</x:v>
      </x:c>
      <x:c r="B20" s="49" t="str">
        <x:v>ResourceCategoryController</x:v>
      </x:c>
      <x:c r="C20" s="63" t="str">
        <x:v>/backend/v1/resource-category</x:v>
      </x:c>
      <x:c r="D20" s="51" t="n">
        <x:v>10</x:v>
      </x:c>
      <x:c r="E20" s="51" t="str">
        <x:v>已覆盖</x:v>
      </x:c>
      <x:c r="F20" s="51" t="str">
        <x:v>待补充</x:v>
      </x:c>
      <x:c r="G20" s="51" t="str">
        <x:v>P1</x:v>
      </x:c>
      <x:c r="H20" s="61" t="str"/>
      <x:c r="I20" s="65"/>
      <x:c r="J20" s="49" t="str">
        <x:v>资源分类</x:v>
      </x:c>
      <x:c r="K20" s="1"/>
    </x:row>
    <x:row r="21" ht="25" customHeight="1">
      <x:c r="A21" s="49" t="str">
        <x:v>资源与上传</x:v>
      </x:c>
      <x:c r="B21" s="49" t="str">
        <x:v>UploadController</x:v>
      </x:c>
      <x:c r="C21" s="63" t="str">
        <x:v>/backend/v1/upload</x:v>
      </x:c>
      <x:c r="D21" s="51" t="n">
        <x:v>6</x:v>
      </x:c>
      <x:c r="E21" s="51" t="str">
        <x:v>已覆盖</x:v>
      </x:c>
      <x:c r="F21" s="51" t="str">
        <x:v>待补充</x:v>
      </x:c>
      <x:c r="G21" s="51" t="str">
        <x:v>P1</x:v>
      </x:c>
      <x:c r="H21" s="61" t="str"/>
      <x:c r="I21" s="65"/>
      <x:c r="J21" s="49" t="str">
        <x:v>普通上传和分片上传</x:v>
      </x:c>
      <x:c r="K21" s="1"/>
    </x:row>
    <x:row r="22" ht="25" customHeight="1">
      <x:c r="A22" s="49" t="str">
        <x:v>题库管理</x:v>
      </x:c>
      <x:c r="B22" s="49" t="str">
        <x:v>QuestionBankController</x:v>
      </x:c>
      <x:c r="C22" s="63" t="str">
        <x:v>/backend/v1/question-bank</x:v>
      </x:c>
      <x:c r="D22" s="51" t="n">
        <x:v>15</x:v>
      </x:c>
      <x:c r="E22" s="51" t="str">
        <x:v>已覆盖</x:v>
      </x:c>
      <x:c r="F22" s="51" t="str">
        <x:v>已覆盖</x:v>
      </x:c>
      <x:c r="G22" s="51" t="str">
        <x:v>P1</x:v>
      </x:c>
      <x:c r="H22" s="61" t="str"/>
      <x:c r="I22" s="65"/>
      <x:c r="J22" s="49" t="str">
        <x:v>已有真实HTTP、SQL、权限和业务场景测试</x:v>
      </x:c>
      <x:c r="K22" s="1"/>
    </x:row>
    <x:row r="23" ht="25" customHeight="1">
      <x:c r="A23" s="49" t="str">
        <x:v>试卷管理</x:v>
      </x:c>
      <x:c r="B23" s="49" t="str">
        <x:v>ExamPaperController</x:v>
      </x:c>
      <x:c r="C23" s="63" t="str">
        <x:v>/backend/v1/exam-paper</x:v>
      </x:c>
      <x:c r="D23" s="51" t="n">
        <x:v>16</x:v>
      </x:c>
      <x:c r="E23" s="51" t="str">
        <x:v>已覆盖</x:v>
      </x:c>
      <x:c r="F23" s="51" t="str">
        <x:v>已覆盖</x:v>
      </x:c>
      <x:c r="G23" s="51" t="str">
        <x:v>P1</x:v>
      </x:c>
      <x:c r="H23" s="61" t="str"/>
      <x:c r="I23" s="65"/>
      <x:c r="J23" s="49" t="str">
        <x:v>已有真实HTTP、SQL、权限和业务场景测试</x:v>
      </x:c>
      <x:c r="K23" s="1"/>
    </x:row>
    <x:row r="24" ht="25" customHeight="1">
      <x:c r="A24" s="49" t="str">
        <x:v>系统配置与运维</x:v>
      </x:c>
      <x:c r="B24" s="49" t="str">
        <x:v>AppConfigController</x:v>
      </x:c>
      <x:c r="C24" s="63" t="str">
        <x:v>/backend/v1/app-config</x:v>
      </x:c>
      <x:c r="D24" s="51" t="n">
        <x:v>2</x:v>
      </x:c>
      <x:c r="E24" s="51" t="str">
        <x:v>已覆盖</x:v>
      </x:c>
      <x:c r="F24" s="51" t="str">
        <x:v>待补充</x:v>
      </x:c>
      <x:c r="G24" s="51" t="str">
        <x:v>P2</x:v>
      </x:c>
      <x:c r="H24" s="61" t="str"/>
      <x:c r="I24" s="65"/>
      <x:c r="J24" s="49" t="str">
        <x:v>应用配置</x:v>
      </x:c>
      <x:c r="K24" s="1"/>
    </x:row>
    <x:row r="25" ht="25" customHeight="1">
      <x:c r="A25" s="49" t="str">
        <x:v>系统配置与运维</x:v>
      </x:c>
      <x:c r="B25" s="49" t="str">
        <x:v>SystemController</x:v>
      </x:c>
      <x:c r="C25" s="63" t="str">
        <x:v>/backend/v1/system</x:v>
      </x:c>
      <x:c r="D25" s="51" t="n">
        <x:v>1</x:v>
      </x:c>
      <x:c r="E25" s="51" t="str">
        <x:v>已覆盖</x:v>
      </x:c>
      <x:c r="F25" s="51" t="str">
        <x:v>待补充</x:v>
      </x:c>
      <x:c r="G25" s="51" t="str">
        <x:v>P2</x:v>
      </x:c>
      <x:c r="H25" s="61" t="str"/>
      <x:c r="I25" s="65"/>
      <x:c r="J25" s="49" t="str">
        <x:v>系统基础数据</x:v>
      </x:c>
      <x:c r="K25" s="1"/>
    </x:row>
    <x:row r="26" ht="25" customHeight="1">
      <x:c r="A26" s="49" t="str">
        <x:v>系统配置与运维</x:v>
      </x:c>
      <x:c r="B26" s="49" t="str">
        <x:v>CacheController</x:v>
      </x:c>
      <x:c r="C26" s="63" t="str">
        <x:v>/backend/v1/cache</x:v>
      </x:c>
      <x:c r="D26" s="51" t="n">
        <x:v>3</x:v>
      </x:c>
      <x:c r="E26" s="51" t="str">
        <x:v>已覆盖</x:v>
      </x:c>
      <x:c r="F26" s="51" t="str">
        <x:v>待补充</x:v>
      </x:c>
      <x:c r="G26" s="51" t="str">
        <x:v>P2</x:v>
      </x:c>
      <x:c r="H26" s="61" t="str"/>
      <x:c r="I26" s="65"/>
      <x:c r="J26" s="49" t="str">
        <x:v>缓存管理</x:v>
      </x:c>
      <x:c r="K26" s="1"/>
    </x:row>
    <x:row r="27" ht="25" customHeight="1">
      <x:c r="A27" s="49" t="str">
        <x:v>系统配置与运维</x:v>
      </x:c>
      <x:c r="B27" s="49" t="str">
        <x:v>AdminLogController</x:v>
      </x:c>
      <x:c r="C27" s="63" t="str">
        <x:v>/backend/v1/admin/log</x:v>
      </x:c>
      <x:c r="D27" s="51" t="n">
        <x:v>2</x:v>
      </x:c>
      <x:c r="E27" s="51" t="str">
        <x:v>已覆盖</x:v>
      </x:c>
      <x:c r="F27" s="51" t="str">
        <x:v>待补充</x:v>
      </x:c>
      <x:c r="G27" s="51" t="str">
        <x:v>P2</x:v>
      </x:c>
      <x:c r="H27" s="61" t="str"/>
      <x:c r="I27" s="65"/>
      <x:c r="J27" s="49" t="str">
        <x:v>后台操作日志</x:v>
      </x:c>
      <x:c r="K27" s="1"/>
    </x:row>
    <x:row r="28" ht="25" customHeight="1">
      <x:c r="A28" s="53" t="str">
        <x:v>数据看板</x:v>
      </x:c>
      <x:c r="B28" s="53" t="str">
        <x:v>DashboardController</x:v>
      </x:c>
      <x:c r="C28" s="64" t="str">
        <x:v>/backend/v1/dashboard</x:v>
      </x:c>
      <x:c r="D28" s="55" t="n">
        <x:v>1</x:v>
      </x:c>
      <x:c r="E28" s="55" t="str">
        <x:v>已覆盖</x:v>
      </x:c>
      <x:c r="F28" s="55" t="str">
        <x:v>待补充</x:v>
      </x:c>
      <x:c r="G28" s="55" t="str">
        <x:v>P2</x:v>
      </x:c>
      <x:c r="H28" s="62" t="str"/>
      <x:c r="I28" s="66"/>
      <x:c r="J28" s="53" t="str">
        <x:v>后台首页统计</x:v>
      </x:c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conditionalFormatting sqref="E6:F28">
    <x:cfRule type="containsText" dxfId="4" priority="1" operator="containsText" text="已覆盖"/>
  </x:conditionalFormatting>
  <x:conditionalFormatting sqref="F6:F28">
    <x:cfRule type="containsText" dxfId="5" priority="2" operator="containsText" text="待补充"/>
    <x:cfRule type="containsText" dxfId="6" priority="3" operator="containsText" text="进行中"/>
  </x:conditionalFormatting>
  <x:conditionalFormatting sqref="G6:G28">
    <x:cfRule type="containsText" dxfId="7" priority="4" operator="containsText" text="P0"/>
    <x:cfRule type="containsText" dxfId="8" priority="5" operator="containsText" text="P1"/>
  </x:conditionalFormatting>
  <x:dataValidations count="3">
    <x:dataValidation type="list" sqref="E6:E28">
      <x:formula1>"已覆盖,未覆盖"</x:formula1>
    </x:dataValidation>
    <x:dataValidation type="list" sqref="F6:F28">
      <x:formula1>"待补充,进行中,已覆盖,暂不适用"</x:formula1>
    </x:dataValidation>
    <x:dataValidation type="list" sqref="G6:G2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41f8f7a0264ca1"/>
  </x:tableParts>
</x:worksheet>
</file>